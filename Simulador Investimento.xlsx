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OneDrive\Documentos\"/>
    </mc:Choice>
  </mc:AlternateContent>
  <xr:revisionPtr revIDLastSave="0" documentId="13_ncr:1_{FCB76F8D-44D5-4001-9B4B-A4B31E483C5B}" xr6:coauthVersionLast="47" xr6:coauthVersionMax="47" xr10:uidLastSave="{00000000-0000-0000-0000-000000000000}"/>
  <bookViews>
    <workbookView xWindow="-108" yWindow="-108" windowWidth="23256" windowHeight="12456" xr2:uid="{55ECD786-89BC-44EE-A74F-F03D4581981D}"/>
  </bookViews>
  <sheets>
    <sheet name="Simulador" sheetId="1" r:id="rId1"/>
    <sheet name="Dados" sheetId="2" r:id="rId2"/>
  </sheets>
  <definedNames>
    <definedName name="_xlnm.Print_Area" localSheetId="0">Simulador!$A$1:$E$52</definedName>
    <definedName name="Investimento_Mensal">Simulador!$C$14</definedName>
    <definedName name="Qntd_anos">Simulador!$C$15</definedName>
    <definedName name="Rendimento_Carteira">Simulador!$C$8</definedName>
    <definedName name="Salario">Simulador!$C$7</definedName>
    <definedName name="Sugestãp_Investimento">Simulador!$B$9</definedName>
    <definedName name="Taxa_Mensal">Simulador!$C$16</definedName>
    <definedName name="Taxa_Rendimento_Mensal">Simulador!$C$16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D32" i="1" s="1"/>
  <c r="C33" i="1"/>
  <c r="D33" i="1" s="1"/>
  <c r="C34" i="1"/>
  <c r="D34" i="1" s="1"/>
  <c r="C35" i="1"/>
  <c r="D35" i="1" s="1"/>
  <c r="C36" i="1"/>
  <c r="D36" i="1" s="1"/>
  <c r="C31" i="1"/>
  <c r="D31" i="1" s="1"/>
  <c r="A15" i="2"/>
  <c r="A16" i="2"/>
  <c r="A17" i="2"/>
  <c r="A18" i="2"/>
  <c r="A19" i="2"/>
  <c r="A14" i="2"/>
  <c r="A9" i="2"/>
  <c r="A10" i="2"/>
  <c r="A11" i="2"/>
  <c r="A12" i="2"/>
  <c r="A13" i="2"/>
  <c r="A8" i="2"/>
  <c r="A3" i="2"/>
  <c r="A4" i="2"/>
  <c r="A5" i="2"/>
  <c r="A6" i="2"/>
  <c r="A7" i="2"/>
  <c r="A2" i="2"/>
  <c r="C28" i="1"/>
  <c r="C17" i="1"/>
  <c r="C18" i="1" s="1"/>
  <c r="C22" i="1"/>
  <c r="D22" i="1" s="1"/>
  <c r="C23" i="1"/>
  <c r="D23" i="1" s="1"/>
  <c r="C24" i="1"/>
  <c r="D24" i="1" s="1"/>
  <c r="C25" i="1"/>
  <c r="D25" i="1" s="1"/>
  <c r="C21" i="1"/>
  <c r="D21" i="1" s="1"/>
  <c r="C9" i="1"/>
  <c r="D37" i="1" l="1"/>
</calcChain>
</file>

<file path=xl/sharedStrings.xml><?xml version="1.0" encoding="utf-8"?>
<sst xmlns="http://schemas.openxmlformats.org/spreadsheetml/2006/main" count="71" uniqueCount="42">
  <si>
    <t>Santos Investimentos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</si>
  <si>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</si>
  <si>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</si>
  <si>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</si>
  <si>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</si>
  <si>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</si>
  <si>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</si>
  <si>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2 anos?</t>
  </si>
  <si>
    <t>Quanto em 5 anos?</t>
  </si>
  <si>
    <t>Quanto em 10 anos?</t>
  </si>
  <si>
    <t>Quanto em 20 anos?</t>
  </si>
  <si>
    <t>Quanto em 30 anos?</t>
  </si>
  <si>
    <t xml:space="preserve">Cenário Patrimônio </t>
  </si>
  <si>
    <t>Dividendos</t>
  </si>
  <si>
    <t>Salário</t>
  </si>
  <si>
    <t>Rendimento Carteira</t>
  </si>
  <si>
    <t>Sugestão de Investimento</t>
  </si>
  <si>
    <t>Configurações</t>
  </si>
  <si>
    <t>Perfil</t>
  </si>
  <si>
    <t>Moderado</t>
  </si>
  <si>
    <t>Conservador</t>
  </si>
  <si>
    <t>Agressivo</t>
  </si>
  <si>
    <t>Valor a ser Investido Mensal</t>
  </si>
  <si>
    <t>TIPO DE FII</t>
  </si>
  <si>
    <t>Percentual Sugerido</t>
  </si>
  <si>
    <t>Valores</t>
  </si>
  <si>
    <t>Tipo de FII</t>
  </si>
  <si>
    <t>PAPEL</t>
  </si>
  <si>
    <t>TIJOLO</t>
  </si>
  <si>
    <t>HÍBRIDOS</t>
  </si>
  <si>
    <t>FOFs</t>
  </si>
  <si>
    <t>DESENVOLVIMENTO</t>
  </si>
  <si>
    <t>HOTELARIAS</t>
  </si>
  <si>
    <t>TOTAL</t>
  </si>
  <si>
    <t>Papel</t>
  </si>
  <si>
    <t>Tijolo</t>
  </si>
  <si>
    <t>Híbridos</t>
  </si>
  <si>
    <t>Desenvolvimento</t>
  </si>
  <si>
    <t>Hotelarias</t>
  </si>
  <si>
    <t>CHAVE</t>
  </si>
  <si>
    <t>PERFIL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</si>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</sst>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8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1"/>
      <name val="Matura MT Script Capitals"/>
      <family val="4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medium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2" borderId="0" xfId="0" applyFont="1" applyFill="1" applyAlignment="1">
      <alignment vertical="center"/>
    </xf>
    <xf numFmtId="0" fontId="3" fillId="0" borderId="0" xfId="0" applyFont="1"/>
    <xf numFmtId="0" fontId="6" fillId="0" borderId="16" xfId="0" applyFont="1" applyBorder="1" applyAlignment="1">
      <alignment horizontal="center"/>
    </xf>
    <xf numFmtId="164" fontId="6" fillId="0" borderId="14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8" fontId="2" fillId="0" borderId="23" xfId="1" applyNumberFormat="1" applyFont="1" applyBorder="1" applyAlignment="1">
      <alignment horizontal="left"/>
    </xf>
    <xf numFmtId="164" fontId="2" fillId="0" borderId="24" xfId="0" applyNumberFormat="1" applyFont="1" applyBorder="1" applyAlignment="1">
      <alignment horizontal="left"/>
    </xf>
    <xf numFmtId="168" fontId="2" fillId="0" borderId="26" xfId="1" applyNumberFormat="1" applyFont="1" applyBorder="1" applyAlignment="1">
      <alignment horizontal="left"/>
    </xf>
    <xf numFmtId="0" fontId="4" fillId="6" borderId="0" xfId="0" applyFont="1" applyFill="1" applyAlignment="1">
      <alignment horizontal="center" vertical="center"/>
    </xf>
    <xf numFmtId="168" fontId="6" fillId="0" borderId="3" xfId="1" applyNumberFormat="1" applyFont="1" applyBorder="1" applyAlignment="1">
      <alignment horizontal="center"/>
    </xf>
    <xf numFmtId="8" fontId="6" fillId="4" borderId="27" xfId="0" applyNumberFormat="1" applyFont="1" applyFill="1" applyBorder="1" applyAlignment="1">
      <alignment horizontal="center" vertical="center"/>
    </xf>
    <xf numFmtId="8" fontId="6" fillId="4" borderId="28" xfId="0" applyNumberFormat="1" applyFont="1" applyFill="1" applyBorder="1" applyAlignment="1">
      <alignment horizontal="center"/>
    </xf>
    <xf numFmtId="8" fontId="6" fillId="4" borderId="14" xfId="0" applyNumberFormat="1" applyFont="1" applyFill="1" applyBorder="1" applyAlignment="1">
      <alignment horizontal="center" vertical="center"/>
    </xf>
    <xf numFmtId="8" fontId="6" fillId="4" borderId="21" xfId="0" applyNumberFormat="1" applyFont="1" applyFill="1" applyBorder="1" applyAlignment="1">
      <alignment horizontal="center"/>
    </xf>
    <xf numFmtId="8" fontId="6" fillId="4" borderId="5" xfId="0" applyNumberFormat="1" applyFont="1" applyFill="1" applyBorder="1" applyAlignment="1">
      <alignment horizontal="center" vertical="center"/>
    </xf>
    <xf numFmtId="8" fontId="6" fillId="4" borderId="6" xfId="0" applyNumberFormat="1" applyFont="1" applyFill="1" applyBorder="1" applyAlignment="1">
      <alignment horizontal="center" vertical="center"/>
    </xf>
    <xf numFmtId="8" fontId="6" fillId="4" borderId="22" xfId="0" applyNumberFormat="1" applyFont="1" applyFill="1" applyBorder="1" applyAlignment="1">
      <alignment horizontal="center"/>
    </xf>
    <xf numFmtId="168" fontId="6" fillId="4" borderId="19" xfId="0" applyNumberFormat="1" applyFont="1" applyFill="1" applyBorder="1" applyAlignment="1">
      <alignment horizontal="left"/>
    </xf>
    <xf numFmtId="168" fontId="6" fillId="4" borderId="6" xfId="0" applyNumberFormat="1" applyFont="1" applyFill="1" applyBorder="1" applyAlignment="1">
      <alignment horizontal="left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 indent="3"/>
    </xf>
    <xf numFmtId="0" fontId="0" fillId="3" borderId="15" xfId="0" applyFill="1" applyBorder="1" applyAlignment="1">
      <alignment horizontal="left" indent="3"/>
    </xf>
    <xf numFmtId="0" fontId="0" fillId="3" borderId="25" xfId="0" applyFill="1" applyBorder="1" applyAlignment="1">
      <alignment horizontal="left" indent="3"/>
    </xf>
    <xf numFmtId="0" fontId="5" fillId="0" borderId="12" xfId="0" applyFont="1" applyBorder="1" applyAlignment="1">
      <alignment horizontal="left" indent="3"/>
    </xf>
    <xf numFmtId="0" fontId="5" fillId="0" borderId="15" xfId="0" applyFont="1" applyBorder="1" applyAlignment="1">
      <alignment horizontal="left" indent="3"/>
    </xf>
    <xf numFmtId="0" fontId="5" fillId="0" borderId="17" xfId="0" applyFont="1" applyBorder="1" applyAlignment="1">
      <alignment horizontal="left" indent="3"/>
    </xf>
    <xf numFmtId="0" fontId="6" fillId="3" borderId="18" xfId="0" applyFont="1" applyFill="1" applyBorder="1" applyAlignment="1">
      <alignment horizontal="left" indent="3"/>
    </xf>
    <xf numFmtId="0" fontId="6" fillId="3" borderId="13" xfId="0" applyFont="1" applyFill="1" applyBorder="1" applyAlignment="1">
      <alignment horizontal="left" indent="3"/>
    </xf>
    <xf numFmtId="0" fontId="5" fillId="3" borderId="4" xfId="0" applyFont="1" applyFill="1" applyBorder="1" applyAlignment="1">
      <alignment horizontal="left" indent="3"/>
    </xf>
    <xf numFmtId="0" fontId="5" fillId="3" borderId="17" xfId="0" applyFont="1" applyFill="1" applyBorder="1" applyAlignment="1">
      <alignment horizontal="left" indent="3"/>
    </xf>
    <xf numFmtId="0" fontId="5" fillId="3" borderId="20" xfId="0" applyFont="1" applyFill="1" applyBorder="1" applyAlignment="1">
      <alignment horizontal="left" indent="3"/>
    </xf>
    <xf numFmtId="0" fontId="5" fillId="3" borderId="13" xfId="0" applyFont="1" applyFill="1" applyBorder="1" applyAlignment="1">
      <alignment horizontal="left" indent="3"/>
    </xf>
    <xf numFmtId="0" fontId="8" fillId="8" borderId="11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indent="3"/>
    </xf>
    <xf numFmtId="0" fontId="7" fillId="10" borderId="0" xfId="0" applyFont="1" applyFill="1" applyAlignment="1">
      <alignment horizontal="center" vertical="center"/>
    </xf>
    <xf numFmtId="168" fontId="6" fillId="4" borderId="7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168" fontId="5" fillId="4" borderId="0" xfId="0" applyNumberFormat="1" applyFont="1" applyFill="1"/>
    <xf numFmtId="0" fontId="7" fillId="10" borderId="0" xfId="0" applyFont="1" applyFill="1" applyAlignment="1">
      <alignment horizontal="right"/>
    </xf>
    <xf numFmtId="168" fontId="7" fillId="10" borderId="0" xfId="0" applyNumberFormat="1" applyFont="1" applyFill="1" applyAlignment="1">
      <alignment horizontal="center"/>
    </xf>
    <xf numFmtId="9" fontId="0" fillId="0" borderId="0" xfId="2" applyFont="1"/>
    <xf numFmtId="0" fontId="0" fillId="4" borderId="0" xfId="0" applyFill="1"/>
    <xf numFmtId="9" fontId="0" fillId="4" borderId="0" xfId="2" applyFont="1" applyFill="1"/>
    <xf numFmtId="0" fontId="0" fillId="5" borderId="0" xfId="0" applyFill="1"/>
    <xf numFmtId="9" fontId="0" fillId="5" borderId="0" xfId="2" applyFont="1" applyFill="1"/>
    <xf numFmtId="9" fontId="5" fillId="3" borderId="0" xfId="2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3">
    <dxf>
      <fill>
        <patternFill>
          <bgColor theme="5" tint="0.39994506668294322"/>
        </patternFill>
      </fill>
    </dxf>
    <dxf>
      <font>
        <b/>
        <i val="0"/>
        <color theme="1"/>
      </font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E7E-4C69-84C2-2064CDDF33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Simulador!$B$31:$B$37</c:f>
              <c:strCache>
                <c:ptCount val="7"/>
                <c:pt idx="0">
                  <c:v>Desenvolvimento</c:v>
                </c:pt>
                <c:pt idx="1">
                  <c:v>FOFs</c:v>
                </c:pt>
                <c:pt idx="2">
                  <c:v>Híbridos</c:v>
                </c:pt>
                <c:pt idx="3">
                  <c:v>Hotelarias</c:v>
                </c:pt>
                <c:pt idx="4">
                  <c:v>Papel</c:v>
                </c:pt>
                <c:pt idx="5">
                  <c:v>Tijolo</c:v>
                </c:pt>
                <c:pt idx="6">
                  <c:v>TOTAL</c:v>
                </c:pt>
              </c:strCache>
            </c:strRef>
          </c:cat>
          <c:val>
            <c:numRef>
              <c:f>Simulador!$C$31:$C$37</c:f>
              <c:numCache>
                <c:formatCode>0%</c:formatCode>
                <c:ptCount val="7"/>
                <c:pt idx="0">
                  <c:v>0.1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  <c:pt idx="4">
                  <c:v>0.32</c:v>
                </c:pt>
                <c:pt idx="5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E-4C69-84C2-2064CDDF3375}"/>
            </c:ext>
          </c:extLst>
        </c:ser>
        <c:ser>
          <c:idx val="1"/>
          <c:order val="1"/>
          <c:tx>
            <c:strRef>
              <c:f>Simulador!$D$30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Simulador!$B$31:$B$37</c:f>
              <c:strCache>
                <c:ptCount val="7"/>
                <c:pt idx="0">
                  <c:v>Desenvolvimento</c:v>
                </c:pt>
                <c:pt idx="1">
                  <c:v>FOFs</c:v>
                </c:pt>
                <c:pt idx="2">
                  <c:v>Híbridos</c:v>
                </c:pt>
                <c:pt idx="3">
                  <c:v>Hotelarias</c:v>
                </c:pt>
                <c:pt idx="4">
                  <c:v>Papel</c:v>
                </c:pt>
                <c:pt idx="5">
                  <c:v>Tijolo</c:v>
                </c:pt>
                <c:pt idx="6">
                  <c:v>TOTAL</c:v>
                </c:pt>
              </c:strCache>
            </c:strRef>
          </c:cat>
          <c:val>
            <c:numRef>
              <c:f>Simulador!$D$31:$D$37</c:f>
              <c:numCache>
                <c:formatCode>"R$"\ #,##0.00</c:formatCode>
                <c:ptCount val="7"/>
                <c:pt idx="0">
                  <c:v>23</c:v>
                </c:pt>
                <c:pt idx="1">
                  <c:v>11.5</c:v>
                </c:pt>
                <c:pt idx="2">
                  <c:v>18.400000000000002</c:v>
                </c:pt>
                <c:pt idx="3">
                  <c:v>23</c:v>
                </c:pt>
                <c:pt idx="4">
                  <c:v>73.600000000000009</c:v>
                </c:pt>
                <c:pt idx="5">
                  <c:v>80.5</c:v>
                </c:pt>
                <c:pt idx="6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E-4C69-84C2-2064CDDF337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255888</xdr:colOff>
      <xdr:row>0</xdr:row>
      <xdr:rowOff>31750</xdr:rowOff>
    </xdr:from>
    <xdr:to>
      <xdr:col>1</xdr:col>
      <xdr:colOff>336859</xdr:colOff>
      <xdr:row>3</xdr:row>
      <xdr:rowOff>146050</xdr:rowOff>
    </xdr:to>
    <xdr:pic>
      <xdr:nvPicPr>
        <xdr:cNvPr id="3" name="Gráfico 2" descr="Moedas com preenchimento sólido">
          <a:extLst>
            <a:ext uri="{FF2B5EF4-FFF2-40B4-BE49-F238E27FC236}">
              <a16:creationId xmlns:a16="http://schemas.microsoft.com/office/drawing/2014/main" id="{68CBE4AC-AFFB-D727-496C-2B4B0D862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5888" y="31750"/>
          <a:ext cx="693420" cy="698263"/>
        </a:xfrm>
        <a:prstGeom prst="rect">
          <a:avLst/>
        </a:prstGeom>
      </xdr:spPr>
    </xdr:pic>
    <xdr:clientData/>
  </xdr:twoCellAnchor>
  <xdr:twoCellAnchor>
    <xdr:from>
      <xdr:col>1</xdr:col>
      <xdr:colOff>455775</xdr:colOff>
      <xdr:row>38</xdr:row>
      <xdr:rowOff>24213</xdr:rowOff>
    </xdr:from>
    <xdr:to>
      <xdr:col>3</xdr:col>
      <xdr:colOff>498504</xdr:colOff>
      <xdr:row>52</xdr:row>
      <xdr:rowOff>175189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088751-F0C0-67DA-E084-9E1D05950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62BB-3FE0-4A78-A116-7A485EDB77CB}">
  <dimension ref="A1:F63"/>
  <sheetViews>
    <sheetView showGridLines="0" tabSelected="1" topLeftCell="A5" zoomScale="107" zoomScaleNormal="107" zoomScaleSheetLayoutView="109" workbookViewId="0">
      <selection activeCell="A52" sqref="A52"/>
    </sheetView>
  </sheetViews>
  <sheetFormatPr defaultColWidth="0" defaultRowHeight="14.4" x14ac:dyDescent="0.3"/>
  <cols>
    <col min="1" max="1" width="8.88671875" customWidth="1"/>
    <col min="2" max="2" width="42.88671875" customWidth="1"/>
    <col min="3" max="3" width="23.109375" bestFit="1" customWidth="1"/>
    <col min="4" max="4" width="13" bestFit="1" customWidth="1"/>
    <col min="5" max="5" width="5.109375" customWidth="1"/>
    <col min="6" max="6" width="12" hidden="1"/>
    <col min="7" max="16384" width="8.88671875" hidden="1"/>
  </cols>
  <sheetData>
    <row r="1" spans="1:6" ht="16.8" customHeight="1" x14ac:dyDescent="0.3">
      <c r="A1" s="9" t="s">
        <v>0</v>
      </c>
      <c r="B1" s="9"/>
      <c r="C1" s="9"/>
      <c r="D1" s="9"/>
      <c r="E1" s="9"/>
      <c r="F1" s="1"/>
    </row>
    <row r="2" spans="1:6" ht="14.4" customHeight="1" x14ac:dyDescent="0.3">
      <c r="A2" s="9"/>
      <c r="B2" s="9"/>
      <c r="C2" s="9"/>
      <c r="D2" s="9"/>
      <c r="E2" s="9"/>
      <c r="F2" s="1"/>
    </row>
    <row r="3" spans="1:6" ht="14.4" customHeight="1" x14ac:dyDescent="0.3">
      <c r="A3" s="9"/>
      <c r="B3" s="9"/>
      <c r="C3" s="9"/>
      <c r="D3" s="9"/>
      <c r="E3" s="9"/>
      <c r="F3" s="1"/>
    </row>
    <row r="4" spans="1:6" ht="14.4" customHeight="1" x14ac:dyDescent="0.3">
      <c r="A4" s="9"/>
      <c r="B4" s="9"/>
      <c r="C4" s="9"/>
      <c r="D4" s="9"/>
      <c r="E4" s="9"/>
      <c r="F4" s="1"/>
    </row>
    <row r="5" spans="1:6" ht="15" thickBot="1" x14ac:dyDescent="0.35"/>
    <row r="6" spans="1:6" ht="24" thickBot="1" x14ac:dyDescent="0.35">
      <c r="B6" s="36" t="s">
        <v>17</v>
      </c>
      <c r="C6" s="37"/>
    </row>
    <row r="7" spans="1:6" x14ac:dyDescent="0.3">
      <c r="B7" s="24" t="s">
        <v>14</v>
      </c>
      <c r="C7" s="6">
        <v>2800</v>
      </c>
    </row>
    <row r="8" spans="1:6" x14ac:dyDescent="0.3">
      <c r="B8" s="25" t="s">
        <v>15</v>
      </c>
      <c r="C8" s="7">
        <v>8.8999999999999999E-3</v>
      </c>
    </row>
    <row r="9" spans="1:6" ht="15" thickBot="1" x14ac:dyDescent="0.35">
      <c r="B9" s="26" t="s">
        <v>16</v>
      </c>
      <c r="C9" s="8">
        <f>C7*30%</f>
        <v>840</v>
      </c>
    </row>
    <row r="12" spans="1:6" ht="15" thickBot="1" x14ac:dyDescent="0.35"/>
    <row r="13" spans="1:6" ht="36.6" customHeight="1" thickBot="1" x14ac:dyDescent="0.35">
      <c r="B13" s="22" t="s">
        <v>1</v>
      </c>
      <c r="C13" s="23"/>
    </row>
    <row r="14" spans="1:6" ht="15.6" x14ac:dyDescent="0.3">
      <c r="B14" s="27" t="s">
        <v>2</v>
      </c>
      <c r="C14" s="10">
        <v>230</v>
      </c>
    </row>
    <row r="15" spans="1:6" ht="15.6" x14ac:dyDescent="0.3">
      <c r="B15" s="28" t="s">
        <v>3</v>
      </c>
      <c r="C15" s="3">
        <v>5</v>
      </c>
    </row>
    <row r="16" spans="1:6" ht="15.6" x14ac:dyDescent="0.3">
      <c r="B16" s="29" t="s">
        <v>4</v>
      </c>
      <c r="C16" s="4">
        <v>1.0789999999999999E-2</v>
      </c>
    </row>
    <row r="17" spans="1:4" ht="15.6" x14ac:dyDescent="0.3">
      <c r="B17" s="30" t="s">
        <v>5</v>
      </c>
      <c r="C17" s="18">
        <f>FV(Taxa_Mensal,Qntd_anos*12,Investimento_Mensal*-1)</f>
        <v>19268.690219652159</v>
      </c>
    </row>
    <row r="18" spans="1:4" ht="16.2" thickBot="1" x14ac:dyDescent="0.35">
      <c r="B18" s="31" t="s">
        <v>6</v>
      </c>
      <c r="C18" s="19">
        <f>C17*Rendimento_Carteira</f>
        <v>171.49134295490421</v>
      </c>
    </row>
    <row r="19" spans="1:4" ht="15" thickBot="1" x14ac:dyDescent="0.35"/>
    <row r="20" spans="1:4" ht="36" customHeight="1" thickBot="1" x14ac:dyDescent="0.35">
      <c r="B20" s="20" t="s">
        <v>12</v>
      </c>
      <c r="C20" s="21"/>
      <c r="D20" s="5" t="s">
        <v>13</v>
      </c>
    </row>
    <row r="21" spans="1:4" ht="15.6" x14ac:dyDescent="0.3">
      <c r="A21" s="2">
        <v>2</v>
      </c>
      <c r="B21" s="32" t="s">
        <v>7</v>
      </c>
      <c r="C21" s="11">
        <f>FV(Taxa_Mensal,$A21*12,Investimento_Mensal*-1)</f>
        <v>6262.3542784583997</v>
      </c>
      <c r="D21" s="12">
        <f>C21*Rendimento_Carteira</f>
        <v>55.734953078279759</v>
      </c>
    </row>
    <row r="22" spans="1:4" ht="15.6" x14ac:dyDescent="0.3">
      <c r="A22" s="2">
        <v>5</v>
      </c>
      <c r="B22" s="33" t="s">
        <v>8</v>
      </c>
      <c r="C22" s="13">
        <f>FV(Taxa_Mensal,$A22*12,Investimento_Mensal*-1)</f>
        <v>19268.690219652159</v>
      </c>
      <c r="D22" s="14">
        <f>C22*Rendimento_Carteira</f>
        <v>171.49134295490421</v>
      </c>
    </row>
    <row r="23" spans="1:4" ht="15.6" x14ac:dyDescent="0.3">
      <c r="A23" s="2">
        <v>10</v>
      </c>
      <c r="B23" s="34" t="s">
        <v>9</v>
      </c>
      <c r="C23" s="15">
        <f>FV(Taxa_Mensal,$A23*12,Investimento_Mensal*-1)</f>
        <v>55955.368881939605</v>
      </c>
      <c r="D23" s="14">
        <f>C23*Rendimento_Carteira</f>
        <v>498.00278304926246</v>
      </c>
    </row>
    <row r="24" spans="1:4" ht="15.6" x14ac:dyDescent="0.3">
      <c r="A24" s="2">
        <v>20</v>
      </c>
      <c r="B24" s="33" t="s">
        <v>10</v>
      </c>
      <c r="C24" s="13">
        <f>FV(Taxa_Mensal,$A24*12,Investimento_Mensal*-1)</f>
        <v>258795.63202232853</v>
      </c>
      <c r="D24" s="14">
        <f>C24*Rendimento_Carteira</f>
        <v>2303.281124998724</v>
      </c>
    </row>
    <row r="25" spans="1:4" ht="16.2" thickBot="1" x14ac:dyDescent="0.35">
      <c r="A25" s="2">
        <v>30</v>
      </c>
      <c r="B25" s="35" t="s">
        <v>11</v>
      </c>
      <c r="C25" s="16">
        <f>FV(Taxa_Mensal,$A25*12,Investimento_Mensal*-1)</f>
        <v>994099.02065108437</v>
      </c>
      <c r="D25" s="17">
        <f>C25*Rendimento_Carteira</f>
        <v>8847.4812837946502</v>
      </c>
    </row>
    <row r="27" spans="1:4" ht="15.6" x14ac:dyDescent="0.3">
      <c r="B27" s="38" t="s">
        <v>18</v>
      </c>
      <c r="C27" s="41" t="s">
        <v>19</v>
      </c>
    </row>
    <row r="28" spans="1:4" ht="15.6" x14ac:dyDescent="0.3">
      <c r="B28" s="38" t="s">
        <v>22</v>
      </c>
      <c r="C28" s="40">
        <f>Investimento_Mensal</f>
        <v>230</v>
      </c>
    </row>
    <row r="30" spans="1:4" ht="18" x14ac:dyDescent="0.3">
      <c r="B30" s="39" t="s">
        <v>26</v>
      </c>
      <c r="C30" s="39" t="s">
        <v>24</v>
      </c>
      <c r="D30" s="39" t="s">
        <v>25</v>
      </c>
    </row>
    <row r="31" spans="1:4" ht="15.6" x14ac:dyDescent="0.3">
      <c r="B31" s="42" t="s">
        <v>37</v>
      </c>
      <c r="C31" s="51">
        <f>VLOOKUP($C$27&amp;"-"&amp;B31,Dados!A:D,4,FALSE)</f>
        <v>0.1</v>
      </c>
      <c r="D31" s="43">
        <f>C31*$C$28</f>
        <v>23</v>
      </c>
    </row>
    <row r="32" spans="1:4" ht="15.6" x14ac:dyDescent="0.3">
      <c r="B32" s="42" t="s">
        <v>30</v>
      </c>
      <c r="C32" s="51">
        <f>VLOOKUP($C$27&amp;"-"&amp;B32,Dados!A:D,4,FALSE)</f>
        <v>0.05</v>
      </c>
      <c r="D32" s="43">
        <f t="shared" ref="D32:D36" si="0">C32*$C$28</f>
        <v>11.5</v>
      </c>
    </row>
    <row r="33" spans="2:4" ht="15.6" x14ac:dyDescent="0.3">
      <c r="B33" s="42" t="s">
        <v>36</v>
      </c>
      <c r="C33" s="51">
        <f>VLOOKUP($C$27&amp;"-"&amp;B33,Dados!A:D,4,FALSE)</f>
        <v>0.08</v>
      </c>
      <c r="D33" s="43">
        <f t="shared" si="0"/>
        <v>18.400000000000002</v>
      </c>
    </row>
    <row r="34" spans="2:4" ht="15.6" x14ac:dyDescent="0.3">
      <c r="B34" s="42" t="s">
        <v>38</v>
      </c>
      <c r="C34" s="51">
        <f>VLOOKUP($C$27&amp;"-"&amp;B34,Dados!A:D,4,FALSE)</f>
        <v>0.1</v>
      </c>
      <c r="D34" s="43">
        <f t="shared" si="0"/>
        <v>23</v>
      </c>
    </row>
    <row r="35" spans="2:4" ht="15.6" x14ac:dyDescent="0.3">
      <c r="B35" s="42" t="s">
        <v>34</v>
      </c>
      <c r="C35" s="51">
        <f>VLOOKUP($C$27&amp;"-"&amp;B35,Dados!A:D,4,FALSE)</f>
        <v>0.32</v>
      </c>
      <c r="D35" s="43">
        <f t="shared" si="0"/>
        <v>73.600000000000009</v>
      </c>
    </row>
    <row r="36" spans="2:4" ht="15.6" x14ac:dyDescent="0.3">
      <c r="B36" s="42" t="s">
        <v>35</v>
      </c>
      <c r="C36" s="51">
        <f>VLOOKUP($C$27&amp;"-"&amp;B36,Dados!A:D,4,FALSE)</f>
        <v>0.35</v>
      </c>
      <c r="D36" s="43">
        <f t="shared" si="0"/>
        <v>80.5</v>
      </c>
    </row>
    <row r="37" spans="2:4" ht="18" x14ac:dyDescent="0.35">
      <c r="B37" s="44" t="s">
        <v>33</v>
      </c>
      <c r="C37" s="44"/>
      <c r="D37" s="45">
        <f>SUM(D31:D36)</f>
        <v>230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</sheetData>
  <sortState xmlns:xlrd2="http://schemas.microsoft.com/office/spreadsheetml/2017/richdata2" ref="B31:B36">
    <sortCondition ref="B31:B36"/>
  </sortState>
  <mergeCells count="5">
    <mergeCell ref="B20:C20"/>
    <mergeCell ref="B6:C6"/>
    <mergeCell ref="A1:E4"/>
    <mergeCell ref="B37:C37"/>
    <mergeCell ref="B13:C13"/>
  </mergeCells>
  <conditionalFormatting sqref="C27">
    <cfRule type="containsText" dxfId="1" priority="3" operator="containsText" text="Conservador">
      <formula>NOT(ISERROR(SEARCH("Conservador",C27)))</formula>
    </cfRule>
    <cfRule type="containsText" dxfId="2" priority="2" operator="containsText" text="Moderado">
      <formula>NOT(ISERROR(SEARCH("Moderado",C27)))</formula>
    </cfRule>
    <cfRule type="containsText" dxfId="0" priority="1" operator="containsText" text="Agressivo">
      <formula>NOT(ISERROR(SEARCH("Agressivo",C27)))</formula>
    </cfRule>
  </conditionalFormatting>
  <dataValidations count="1">
    <dataValidation type="list" allowBlank="1" showInputMessage="1" showErrorMessage="1" sqref="C27" xr:uid="{A93B3A0D-AC8D-4E60-9BE2-CB93C07E0ED1}">
      <formula1>"Moderado,Conservador,Agressivo"</formula1>
    </dataValidation>
  </dataValidations>
  <pageMargins left="0.511811024" right="0.511811024" top="0.78740157499999996" bottom="0.78740157499999996" header="0.31496062000000002" footer="0.31496062000000002"/>
  <pageSetup paperSize="9" scale="93" orientation="portrait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F8BD-7B6D-44A6-9626-4176F9C8A82E}">
  <dimension ref="A1:D19"/>
  <sheetViews>
    <sheetView workbookViewId="0">
      <selection activeCell="A26" sqref="A26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4" max="4" width="9.109375" customWidth="1"/>
  </cols>
  <sheetData>
    <row r="1" spans="1:4" ht="18" x14ac:dyDescent="0.3">
      <c r="A1" s="39" t="s">
        <v>39</v>
      </c>
      <c r="B1" s="39" t="s">
        <v>40</v>
      </c>
      <c r="C1" s="39" t="s">
        <v>23</v>
      </c>
      <c r="D1" s="39" t="s">
        <v>41</v>
      </c>
    </row>
    <row r="2" spans="1:4" x14ac:dyDescent="0.3">
      <c r="A2" t="str">
        <f>$B$2&amp;"-"&amp;C2</f>
        <v>Conservador-PAPEL</v>
      </c>
      <c r="B2" t="s">
        <v>20</v>
      </c>
      <c r="C2" t="s">
        <v>27</v>
      </c>
      <c r="D2" s="46">
        <v>0.3</v>
      </c>
    </row>
    <row r="3" spans="1:4" x14ac:dyDescent="0.3">
      <c r="A3" t="str">
        <f t="shared" ref="A3:A7" si="0">$B$2&amp;"-"&amp;C3</f>
        <v>Conservador-TIJOLO</v>
      </c>
      <c r="B3" t="s">
        <v>20</v>
      </c>
      <c r="C3" t="s">
        <v>28</v>
      </c>
      <c r="D3" s="46">
        <v>0.5</v>
      </c>
    </row>
    <row r="4" spans="1:4" x14ac:dyDescent="0.3">
      <c r="A4" t="str">
        <f t="shared" si="0"/>
        <v>Conservador-HÍBRIDOS</v>
      </c>
      <c r="B4" t="s">
        <v>20</v>
      </c>
      <c r="C4" t="s">
        <v>29</v>
      </c>
      <c r="D4" s="46">
        <v>0.1</v>
      </c>
    </row>
    <row r="5" spans="1:4" x14ac:dyDescent="0.3">
      <c r="A5" t="str">
        <f t="shared" si="0"/>
        <v>Conservador-FOFs</v>
      </c>
      <c r="B5" t="s">
        <v>20</v>
      </c>
      <c r="C5" t="s">
        <v>30</v>
      </c>
      <c r="D5" s="46">
        <v>0.1</v>
      </c>
    </row>
    <row r="6" spans="1:4" x14ac:dyDescent="0.3">
      <c r="A6" t="str">
        <f t="shared" si="0"/>
        <v>Conservador-DESENVOLVIMENTO</v>
      </c>
      <c r="B6" t="s">
        <v>20</v>
      </c>
      <c r="C6" t="s">
        <v>31</v>
      </c>
      <c r="D6" s="46">
        <v>0</v>
      </c>
    </row>
    <row r="7" spans="1:4" x14ac:dyDescent="0.3">
      <c r="A7" t="str">
        <f t="shared" si="0"/>
        <v>Conservador-HOTELARIAS</v>
      </c>
      <c r="B7" t="s">
        <v>20</v>
      </c>
      <c r="C7" t="s">
        <v>32</v>
      </c>
      <c r="D7" s="46">
        <v>0</v>
      </c>
    </row>
    <row r="8" spans="1:4" x14ac:dyDescent="0.3">
      <c r="A8" s="47" t="str">
        <f>$B$8&amp;"-"&amp;C8</f>
        <v>Moderado-PAPEL</v>
      </c>
      <c r="B8" s="47" t="s">
        <v>19</v>
      </c>
      <c r="C8" s="47" t="s">
        <v>27</v>
      </c>
      <c r="D8" s="48">
        <v>0.32</v>
      </c>
    </row>
    <row r="9" spans="1:4" x14ac:dyDescent="0.3">
      <c r="A9" s="47" t="str">
        <f t="shared" ref="A9:A13" si="1">$B$8&amp;"-"&amp;C9</f>
        <v>Moderado-TIJOLO</v>
      </c>
      <c r="B9" s="47" t="s">
        <v>19</v>
      </c>
      <c r="C9" s="47" t="s">
        <v>28</v>
      </c>
      <c r="D9" s="48">
        <v>0.35</v>
      </c>
    </row>
    <row r="10" spans="1:4" x14ac:dyDescent="0.3">
      <c r="A10" s="47" t="str">
        <f t="shared" si="1"/>
        <v>Moderado-HÍBRIDOS</v>
      </c>
      <c r="B10" s="47" t="s">
        <v>19</v>
      </c>
      <c r="C10" s="47" t="s">
        <v>29</v>
      </c>
      <c r="D10" s="48">
        <v>0.08</v>
      </c>
    </row>
    <row r="11" spans="1:4" x14ac:dyDescent="0.3">
      <c r="A11" s="47" t="str">
        <f t="shared" si="1"/>
        <v>Moderado-FOFs</v>
      </c>
      <c r="B11" s="47" t="s">
        <v>19</v>
      </c>
      <c r="C11" s="47" t="s">
        <v>30</v>
      </c>
      <c r="D11" s="48">
        <v>0.05</v>
      </c>
    </row>
    <row r="12" spans="1:4" x14ac:dyDescent="0.3">
      <c r="A12" s="47" t="str">
        <f t="shared" si="1"/>
        <v>Moderado-DESENVOLVIMENTO</v>
      </c>
      <c r="B12" s="47" t="s">
        <v>19</v>
      </c>
      <c r="C12" s="47" t="s">
        <v>31</v>
      </c>
      <c r="D12" s="48">
        <v>0.1</v>
      </c>
    </row>
    <row r="13" spans="1:4" x14ac:dyDescent="0.3">
      <c r="A13" s="47" t="str">
        <f t="shared" si="1"/>
        <v>Moderado-HOTELARIAS</v>
      </c>
      <c r="B13" s="47" t="s">
        <v>19</v>
      </c>
      <c r="C13" s="47" t="s">
        <v>32</v>
      </c>
      <c r="D13" s="48">
        <v>0.1</v>
      </c>
    </row>
    <row r="14" spans="1:4" x14ac:dyDescent="0.3">
      <c r="A14" s="49" t="str">
        <f>$B$14&amp;"-"&amp;C14</f>
        <v>Agressivo-PAPEL</v>
      </c>
      <c r="B14" s="49" t="s">
        <v>21</v>
      </c>
      <c r="C14" s="49" t="s">
        <v>27</v>
      </c>
      <c r="D14" s="50">
        <v>0.5</v>
      </c>
    </row>
    <row r="15" spans="1:4" x14ac:dyDescent="0.3">
      <c r="A15" s="49" t="str">
        <f t="shared" ref="A15:A19" si="2">$B$14&amp;"-"&amp;C15</f>
        <v>Agressivo-TIJOLO</v>
      </c>
      <c r="B15" s="49" t="s">
        <v>21</v>
      </c>
      <c r="C15" s="49" t="s">
        <v>28</v>
      </c>
      <c r="D15" s="50">
        <v>0.1</v>
      </c>
    </row>
    <row r="16" spans="1:4" x14ac:dyDescent="0.3">
      <c r="A16" s="49" t="str">
        <f t="shared" si="2"/>
        <v>Agressivo-HÍBRIDOS</v>
      </c>
      <c r="B16" s="49" t="s">
        <v>21</v>
      </c>
      <c r="C16" s="49" t="s">
        <v>29</v>
      </c>
      <c r="D16" s="50">
        <v>0.05</v>
      </c>
    </row>
    <row r="17" spans="1:4" x14ac:dyDescent="0.3">
      <c r="A17" s="49" t="str">
        <f t="shared" si="2"/>
        <v>Agressivo-FOFs</v>
      </c>
      <c r="B17" s="49" t="s">
        <v>21</v>
      </c>
      <c r="C17" s="49" t="s">
        <v>30</v>
      </c>
      <c r="D17" s="50">
        <v>0.05</v>
      </c>
    </row>
    <row r="18" spans="1:4" x14ac:dyDescent="0.3">
      <c r="A18" s="49" t="str">
        <f t="shared" si="2"/>
        <v>Agressivo-DESENVOLVIMENTO</v>
      </c>
      <c r="B18" s="49" t="s">
        <v>21</v>
      </c>
      <c r="C18" s="49" t="s">
        <v>31</v>
      </c>
      <c r="D18" s="50">
        <v>0.2</v>
      </c>
    </row>
    <row r="19" spans="1:4" x14ac:dyDescent="0.3">
      <c r="A19" s="49" t="str">
        <f t="shared" si="2"/>
        <v>Agressivo-HOTELARIAS</v>
      </c>
      <c r="B19" s="49" t="s">
        <v>21</v>
      </c>
      <c r="C19" s="49" t="s">
        <v>32</v>
      </c>
      <c r="D19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</vt:lpstr>
      <vt:lpstr>Dados</vt:lpstr>
      <vt:lpstr>Simulador!Area_de_impressao</vt:lpstr>
      <vt:lpstr>Investimento_Mensal</vt:lpstr>
      <vt:lpstr>Qntd_anos</vt:lpstr>
      <vt:lpstr>Rendimento_Carteira</vt:lpstr>
      <vt:lpstr>Salario</vt:lpstr>
      <vt:lpstr>Sugestãp_Investimento</vt:lpstr>
      <vt:lpstr>Taxa_Mensal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Santos</dc:creator>
  <cp:lastModifiedBy>Ana Santos</cp:lastModifiedBy>
  <dcterms:created xsi:type="dcterms:W3CDTF">2026-10-06T21:21:48Z</dcterms:created>
  <dcterms:modified xsi:type="dcterms:W3CDTF">2026-10-07T16:33:18Z</dcterms:modified>
</cp:coreProperties>
</file>